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Lanzamiento" sheetId="1" state="visible" r:id="rId3"/>
    <sheet name="Resumen por Area" sheetId="2" state="visible" r:id="rId4"/>
    <sheet name="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<sst xmlns="http://schemas.openxmlformats.org/spreadsheetml/2006/main" count="473" uniqueCount="240">
  <si>
    <t xml:space="preserve">ESTETICAI — CHECKLIST DE LANZAMIENTO</t>
  </si>
  <si>
    <t xml:space="preserve">Plan completo para pasar de MVP a producto comercializable (59-249 EUR/mes)</t>
  </si>
  <si>
    <t xml:space="preserve">PROGRESO GLOBAL</t>
  </si>
  <si>
    <t xml:space="preserve">#</t>
  </si>
  <si>
    <t xml:space="preserve">TAREA</t>
  </si>
  <si>
    <t xml:space="preserve">ESTADO</t>
  </si>
  <si>
    <t xml:space="preserve">PRIORIDAD</t>
  </si>
  <si>
    <t xml:space="preserve">NOTAS / DETALLE</t>
  </si>
  <si>
    <t xml:space="preserve">RESPONSABLE</t>
  </si>
  <si>
    <t xml:space="preserve">PRODUCTO — Funcionalidades Core</t>
  </si>
  <si>
    <t xml:space="preserve">Registro + login de clientas</t>
  </si>
  <si>
    <t xml:space="preserve">Hecho</t>
  </si>
  <si>
    <t xml:space="preserve">P0</t>
  </si>
  <si>
    <t xml:space="preserve">Funciona con email + password. Falta: recuperar contraseña</t>
  </si>
  <si>
    <t xml:space="preserve">Dev</t>
  </si>
  <si>
    <t xml:space="preserve">Perfil de marca completo</t>
  </si>
  <si>
    <t xml:space="preserve">Nombre, servicios, productos, tono, valores, redes, horarios</t>
  </si>
  <si>
    <t xml:space="preserve">Generador de copy individual</t>
  </si>
  <si>
    <t xml:space="preserve">Con contexto completo de marca, validación JSON, botón copiar</t>
  </si>
  <si>
    <t xml:space="preserve">Generador de calendario semanal</t>
  </si>
  <si>
    <t xml:space="preserve">6 publicaciones lun-sáb, estrategia semanal, consejo</t>
  </si>
  <si>
    <t xml:space="preserve">Generador de imágenes con IA</t>
  </si>
  <si>
    <t xml:space="preserve">Flux Pro v1.1 via fal.ai. Requiere FAL_KEY con saldo</t>
  </si>
  <si>
    <t xml:space="preserve">Generador de video (imagen→Reel)</t>
  </si>
  <si>
    <t xml:space="preserve">P1</t>
  </si>
  <si>
    <t xml:space="preserve">Kling v2 Master via fal.ai. 7 tipos de movimiento</t>
  </si>
  <si>
    <t xml:space="preserve">Mejora de foto real (fondo+calidad)</t>
  </si>
  <si>
    <t xml:space="preserve">BiRefNet + Bria + Crystal Upscaler. Pipeline 3 pasos</t>
  </si>
  <si>
    <t xml:space="preserve">Composición Antes/Después</t>
  </si>
  <si>
    <t xml:space="preserve">4 plantillas Pillow, coste cero, &lt;1 segundo</t>
  </si>
  <si>
    <t xml:space="preserve">Base de conocimiento estética (26 servicios)</t>
  </si>
  <si>
    <t xml:space="preserve">Info técnica real para copies más creíbles</t>
  </si>
  <si>
    <t xml:space="preserve">Historial de generaciones</t>
  </si>
  <si>
    <t xml:space="preserve">P2</t>
  </si>
  <si>
    <t xml:space="preserve">Últimas 20 generaciones en dashboard. Sin detalle expandido</t>
  </si>
  <si>
    <t xml:space="preserve">PRODUCTO — Funcionalidades Faltantes</t>
  </si>
  <si>
    <t xml:space="preserve">Recuperar contraseña (forgot password)</t>
  </si>
  <si>
    <t xml:space="preserve">Pendiente</t>
  </si>
  <si>
    <t xml:space="preserve">Necesita servicio de email (SendGrid, Resend, etc.)</t>
  </si>
  <si>
    <t xml:space="preserve">Editar perfil existente</t>
  </si>
  <si>
    <t xml:space="preserve">Solo se puede crear nuevo, no editar el actual</t>
  </si>
  <si>
    <t xml:space="preserve">Descarga directa de imágenes generadas</t>
  </si>
  <si>
    <t xml:space="preserve">Ahora solo se ve en navegador. Falta botón descargar</t>
  </si>
  <si>
    <t xml:space="preserve">Galería/historial con previews</t>
  </si>
  <si>
    <t xml:space="preserve">El historial actual es muy básico, sin previsualizaciones</t>
  </si>
  <si>
    <t xml:space="preserve">Multi-perfil (varios negocios)</t>
  </si>
  <si>
    <t xml:space="preserve">P3</t>
  </si>
  <si>
    <t xml:space="preserve">Una clienta puede tener varias marcas. Ahora solo 1 activo</t>
  </si>
  <si>
    <t xml:space="preserve">Regenerar / pedir variaciones</t>
  </si>
  <si>
    <t xml:space="preserve">Botón 'No me convence, genera otro' en cada resultado</t>
  </si>
  <si>
    <t xml:space="preserve">Exportar calendario a PDF o imagen</t>
  </si>
  <si>
    <t xml:space="preserve">Para que la clienta lo imprima o envíe a su equipo</t>
  </si>
  <si>
    <t xml:space="preserve">Tutorial / onboarding primera vez</t>
  </si>
  <si>
    <t xml:space="preserve">Guía paso a paso la primera vez que entra al dashboard</t>
  </si>
  <si>
    <t xml:space="preserve">INFRAESTRUCTURA Y TÉCNICO</t>
  </si>
  <si>
    <t xml:space="preserve">Deploy en Railway funcionando</t>
  </si>
  <si>
    <t xml:space="preserve">Auto-deploy desde GitHub. URL pública activa</t>
  </si>
  <si>
    <t xml:space="preserve">Base de datos persistente (SQLite /data)</t>
  </si>
  <si>
    <t xml:space="preserve">Volumen de 400MB en Railway</t>
  </si>
  <si>
    <t xml:space="preserve">HTTPS activo</t>
  </si>
  <si>
    <t xml:space="preserve">Railway lo proporciona automáticamente</t>
  </si>
  <si>
    <t xml:space="preserve">Variables de entorno configuradas</t>
  </si>
  <si>
    <t xml:space="preserve">ANTHROPIC_API_KEY, FAL_KEY, SECRET_KEY en Railway</t>
  </si>
  <si>
    <t xml:space="preserve">Dominio propio (esteticai.com o similar)</t>
  </si>
  <si>
    <t xml:space="preserve">Ahora usa URL de Railway. Necesita dominio profesional</t>
  </si>
  <si>
    <t xml:space="preserve">Marta</t>
  </si>
  <si>
    <t xml:space="preserve">Migrar de SQLite a PostgreSQL</t>
  </si>
  <si>
    <t xml:space="preserve">SQLite vale para &lt;100 clientas. Para escalar, Postgres</t>
  </si>
  <si>
    <t xml:space="preserve">Backups automáticos de base de datos</t>
  </si>
  <si>
    <t xml:space="preserve">Si se pierde el volumen, se pierden todas las clientas</t>
  </si>
  <si>
    <t xml:space="preserve">Monitoring y alertas (uptime)</t>
  </si>
  <si>
    <t xml:space="preserve">Saber si la app se cae. UptimeRobot (gratis) o similar</t>
  </si>
  <si>
    <t xml:space="preserve">Rate limiting en endpoints API</t>
  </si>
  <si>
    <t xml:space="preserve">Evitar que alguien genere 1000 imágenes en un minuto</t>
  </si>
  <si>
    <t xml:space="preserve">Logs centralizados</t>
  </si>
  <si>
    <t xml:space="preserve">Railway tiene logs básicos. Para debug en producción</t>
  </si>
  <si>
    <t xml:space="preserve">SEGURIDAD</t>
  </si>
  <si>
    <t xml:space="preserve">Hash de passwords (SHA256)</t>
  </si>
  <si>
    <t xml:space="preserve">Funciona pero sin salt. Migrar a bcrypt antes de escalar</t>
  </si>
  <si>
    <t xml:space="preserve">Migrar a bcrypt o argon2</t>
  </si>
  <si>
    <t xml:space="preserve">SHA256 sin salt es vulnerable a rainbow tables</t>
  </si>
  <si>
    <t xml:space="preserve">CSRF protection</t>
  </si>
  <si>
    <t xml:space="preserve">FastAPI + SessionMiddleware no tiene CSRF por defecto</t>
  </si>
  <si>
    <t xml:space="preserve">Validación de inputs en servidor</t>
  </si>
  <si>
    <t xml:space="preserve">Parcial</t>
  </si>
  <si>
    <t xml:space="preserve">Validamos tamaño foto. Falta: sanitizar texto, SQL injection</t>
  </si>
  <si>
    <t xml:space="preserve">API keys NO expuestas en frontend</t>
  </si>
  <si>
    <t xml:space="preserve">Todas las API calls son server-side</t>
  </si>
  <si>
    <t xml:space="preserve">Política de privacidad y cookies</t>
  </si>
  <si>
    <t xml:space="preserve">Obligatorio por RGPD para operar en España/UE</t>
  </si>
  <si>
    <t xml:space="preserve">Aviso legal / condiciones de uso</t>
  </si>
  <si>
    <t xml:space="preserve">Obligatorio si se cobra por el servicio</t>
  </si>
  <si>
    <t xml:space="preserve">Consentimiento de datos (RGPD)</t>
  </si>
  <si>
    <t xml:space="preserve">Checkbox en registro + política accesible</t>
  </si>
  <si>
    <t xml:space="preserve">Dev + Marta</t>
  </si>
  <si>
    <t xml:space="preserve">MODELO DE NEGOCIO</t>
  </si>
  <si>
    <t xml:space="preserve">Definir planes y precios finales</t>
  </si>
  <si>
    <t xml:space="preserve">Idea: 59/99/249 EUR. Falta definir qué incluye cada plan</t>
  </si>
  <si>
    <t xml:space="preserve">Pasarela de pago (Stripe)</t>
  </si>
  <si>
    <t xml:space="preserve">Sin pago no hay negocio. Stripe es lo estándar en Europa</t>
  </si>
  <si>
    <t xml:space="preserve">Sistema de planes (free/basic/pro)</t>
  </si>
  <si>
    <t xml:space="preserve">Limitar generaciones por plan. Ej: Free=5, Basic=50, Pro=∞</t>
  </si>
  <si>
    <t xml:space="preserve">Control de uso por clienta</t>
  </si>
  <si>
    <t xml:space="preserve">Contador de generaciones mensuales + avisos de límite</t>
  </si>
  <si>
    <t xml:space="preserve">Página de precios pública</t>
  </si>
  <si>
    <t xml:space="preserve">Sección en el landing que muestre los planes</t>
  </si>
  <si>
    <t xml:space="preserve">Facturación automática</t>
  </si>
  <si>
    <t xml:space="preserve">Stripe Billing o Stripe Invoicing para facturas</t>
  </si>
  <si>
    <t xml:space="preserve">Período de prueba gratuito</t>
  </si>
  <si>
    <t xml:space="preserve">7-14 días de prueba sin tarjeta, o con tarjeta sin cobro</t>
  </si>
  <si>
    <t xml:space="preserve">Email de bienvenida automático</t>
  </si>
  <si>
    <t xml:space="preserve">Cuando se registra una clienta, mail con guía rápida</t>
  </si>
  <si>
    <t xml:space="preserve">Coste operativo por clienta estimado</t>
  </si>
  <si>
    <t xml:space="preserve">Calcular coste API por uso medio: fal.ai + Anthropic</t>
  </si>
  <si>
    <t xml:space="preserve">Marta + Dev</t>
  </si>
  <si>
    <t xml:space="preserve">LEGAL Y COMPLIANCE</t>
  </si>
  <si>
    <t xml:space="preserve">Registro como autónoma o SL</t>
  </si>
  <si>
    <t xml:space="preserve">Necesario para cobrar legalmente en España</t>
  </si>
  <si>
    <t xml:space="preserve">Política de privacidad (RGPD)</t>
  </si>
  <si>
    <t xml:space="preserve">Datos que se recogen, para qué, y derechos del usuario</t>
  </si>
  <si>
    <t xml:space="preserve">Aviso legal con datos fiscales</t>
  </si>
  <si>
    <t xml:space="preserve">Obligatorio en web comercial española</t>
  </si>
  <si>
    <t xml:space="preserve">Condiciones de contratación</t>
  </si>
  <si>
    <t xml:space="preserve">Qué se contrata, duración, cancelación, reembolsos</t>
  </si>
  <si>
    <t xml:space="preserve">Política de cookies</t>
  </si>
  <si>
    <t xml:space="preserve">Banner de cookies si se usa analytics</t>
  </si>
  <si>
    <t xml:space="preserve">Alta en AEPD (tratamiento de datos)</t>
  </si>
  <si>
    <t xml:space="preserve">Registro de actividades de tratamiento</t>
  </si>
  <si>
    <t xml:space="preserve">Seguro de responsabilidad civil</t>
  </si>
  <si>
    <t xml:space="preserve">Opcional pero recomendable para SaaS B2B</t>
  </si>
  <si>
    <t xml:space="preserve">MARKETING Y VENTAS</t>
  </si>
  <si>
    <t xml:space="preserve">Landing page optimizada para conversión</t>
  </si>
  <si>
    <t xml:space="preserve">Existe pero falta: testimonios, demos, precio, FAQ</t>
  </si>
  <si>
    <t xml:space="preserve">Demo en video (Loom o similar)</t>
  </si>
  <si>
    <t xml:space="preserve">Video de 2 min mostrando el producto en acción</t>
  </si>
  <si>
    <t xml:space="preserve">Captación de leads (formulario interés)</t>
  </si>
  <si>
    <t xml:space="preserve">Antes de cobrar: recoger emails de interesadas</t>
  </si>
  <si>
    <t xml:space="preserve">Redes sociales propias de Esteticai</t>
  </si>
  <si>
    <t xml:space="preserve">Instagram @esteticai con contenido de ejemplo</t>
  </si>
  <si>
    <t xml:space="preserve">Contenido de ejemplo (portfolio)</t>
  </si>
  <si>
    <t xml:space="preserve">3-5 ejemplos reales de calendarios, copies, imágenes</t>
  </si>
  <si>
    <t xml:space="preserve">3-5 beta testers reales</t>
  </si>
  <si>
    <t xml:space="preserve">Clientas reales probando 2 semanas gratis</t>
  </si>
  <si>
    <t xml:space="preserve">Recoger feedback de beta testers</t>
  </si>
  <si>
    <t xml:space="preserve">Formulario o entrevista después de probar</t>
  </si>
  <si>
    <t xml:space="preserve">Propuesta de valor en 1 frase</t>
  </si>
  <si>
    <t xml:space="preserve">Ej: 'Tu community manager IA por 59€/mes'</t>
  </si>
  <si>
    <t xml:space="preserve">Comparativa con competidores en web</t>
  </si>
  <si>
    <t xml:space="preserve">Tabla visual mostrando ventajas vs Predis.ai, etc.</t>
  </si>
  <si>
    <t xml:space="preserve">Canal de adquisición definido</t>
  </si>
  <si>
    <t xml:space="preserve">Instagram Ads, boca a boca, referidos, ferias de estética...</t>
  </si>
  <si>
    <t xml:space="preserve">SOPORTE Y OPERACIONES</t>
  </si>
  <si>
    <t xml:space="preserve">Email de soporte configurado</t>
  </si>
  <si>
    <t xml:space="preserve">soporte@esteticai.com o similar</t>
  </si>
  <si>
    <t xml:space="preserve">FAQ / Centro de ayuda</t>
  </si>
  <si>
    <t xml:space="preserve">Preguntas frecuentes en la web</t>
  </si>
  <si>
    <t xml:space="preserve">Chat de soporte en la app</t>
  </si>
  <si>
    <t xml:space="preserve">Crisp, Intercom o WhatsApp Business. Para después</t>
  </si>
  <si>
    <t xml:space="preserve">Proceso de onboarding de nueva clienta</t>
  </si>
  <si>
    <t xml:space="preserve">¿Se dan de alta solas o les ayudamos? ¿Llamada inicial?</t>
  </si>
  <si>
    <t xml:space="preserve">SLA definido (tiempo de respuesta)</t>
  </si>
  <si>
    <t xml:space="preserve">Ej: respondemos en &lt;24h laborables</t>
  </si>
  <si>
    <t xml:space="preserve">Documentación interna del producto</t>
  </si>
  <si>
    <t xml:space="preserve">Para que otros devs puedan mantener el código</t>
  </si>
  <si>
    <t xml:space="preserve">RESUMEN POR AREA</t>
  </si>
  <si>
    <t xml:space="preserve">Area</t>
  </si>
  <si>
    <t xml:space="preserve">Hechos</t>
  </si>
  <si>
    <t xml:space="preserve">Pendientes</t>
  </si>
  <si>
    <t xml:space="preserve">Parciales</t>
  </si>
  <si>
    <t xml:space="preserve">% Completado</t>
  </si>
  <si>
    <t xml:space="preserve">Producto — Core</t>
  </si>
  <si>
    <t xml:space="preserve">Producto — Faltantes</t>
  </si>
  <si>
    <t xml:space="preserve">Infraestructura</t>
  </si>
  <si>
    <t xml:space="preserve">Seguridad</t>
  </si>
  <si>
    <t xml:space="preserve">Modelo de negocio</t>
  </si>
  <si>
    <t xml:space="preserve">Legal</t>
  </si>
  <si>
    <t xml:space="preserve">Marketing y ventas</t>
  </si>
  <si>
    <t xml:space="preserve">Soporte</t>
  </si>
  <si>
    <t xml:space="preserve">TOTAL</t>
  </si>
  <si>
    <t xml:space="preserve">ROADMAP DE LANZAMIENTO</t>
  </si>
  <si>
    <t xml:space="preserve">DETALLE</t>
  </si>
  <si>
    <t xml:space="preserve">TIEMPO EST.</t>
  </si>
  <si>
    <t xml:space="preserve">FASE 1: DEMO (1 semana)</t>
  </si>
  <si>
    <t xml:space="preserve">Ya completado</t>
  </si>
  <si>
    <t xml:space="preserve">App funcional con 6 herramientas, deploy en Railway</t>
  </si>
  <si>
    <t xml:space="preserve">UI pulida, tildes, spinner, fallbacks visuales</t>
  </si>
  <si>
    <t xml:space="preserve">Dominio propio</t>
  </si>
  <si>
    <t xml:space="preserve">Registrar esteticai.com/.es y conectar a Railway</t>
  </si>
  <si>
    <t xml:space="preserve">2 horas</t>
  </si>
  <si>
    <t xml:space="preserve">Contenido ejemplo</t>
  </si>
  <si>
    <t xml:space="preserve">Crear 3-5 ejemplos reales de calendarios e imágenes</t>
  </si>
  <si>
    <t xml:space="preserve">1 día</t>
  </si>
  <si>
    <t xml:space="preserve">Video demo</t>
  </si>
  <si>
    <t xml:space="preserve">Grabar pantalla mostrando el flujo completo (Loom)</t>
  </si>
  <si>
    <t xml:space="preserve">FASE 2: BETA (2-3 semanas)</t>
  </si>
  <si>
    <t xml:space="preserve">Beta testers</t>
  </si>
  <si>
    <t xml:space="preserve">Conseguir 3-5 esteticistas reales para probar gratis</t>
  </si>
  <si>
    <t xml:space="preserve">1 semana</t>
  </si>
  <si>
    <t xml:space="preserve">Editar perfil</t>
  </si>
  <si>
    <t xml:space="preserve">Permitir modificar el perfil de marca sin crear uno nuevo</t>
  </si>
  <si>
    <t xml:space="preserve">3 horas</t>
  </si>
  <si>
    <t xml:space="preserve">Onboarding</t>
  </si>
  <si>
    <t xml:space="preserve">Tutorial guiado la primera vez que entra al dashboard</t>
  </si>
  <si>
    <t xml:space="preserve">Recuperar password</t>
  </si>
  <si>
    <t xml:space="preserve">Flujo de 'olvidé mi contraseña' con email</t>
  </si>
  <si>
    <t xml:space="preserve">4 horas</t>
  </si>
  <si>
    <t xml:space="preserve">Descargar imágenes</t>
  </si>
  <si>
    <t xml:space="preserve">Botón descargar en todas las imágenes generadas</t>
  </si>
  <si>
    <t xml:space="preserve">Feedback beta</t>
  </si>
  <si>
    <t xml:space="preserve">Recoger opiniones y ajustar producto</t>
  </si>
  <si>
    <t xml:space="preserve">Continuo</t>
  </si>
  <si>
    <t xml:space="preserve">FASE 3: MONETIZACIÓN (2-4 semanas)</t>
  </si>
  <si>
    <t xml:space="preserve">Textos legales</t>
  </si>
  <si>
    <t xml:space="preserve">Privacidad, aviso legal, condiciones (abogado o plantilla)</t>
  </si>
  <si>
    <t xml:space="preserve">RGPD</t>
  </si>
  <si>
    <t xml:space="preserve">Checkbox consentimiento en registro + banner cookies</t>
  </si>
  <si>
    <t xml:space="preserve">Stripe integración</t>
  </si>
  <si>
    <t xml:space="preserve">Pasarela de pago con 3 planes</t>
  </si>
  <si>
    <t xml:space="preserve">3-5 días</t>
  </si>
  <si>
    <t xml:space="preserve">Planes y límites</t>
  </si>
  <si>
    <t xml:space="preserve">Sistema que controla generaciones por plan</t>
  </si>
  <si>
    <t xml:space="preserve">2 días</t>
  </si>
  <si>
    <t xml:space="preserve">Página de precios</t>
  </si>
  <si>
    <t xml:space="preserve">Sección en landing con planes, precios y CTA</t>
  </si>
  <si>
    <t xml:space="preserve">Prueba gratuita</t>
  </si>
  <si>
    <t xml:space="preserve">14 días sin tarjeta para nuevas clientas</t>
  </si>
  <si>
    <t xml:space="preserve">FASE 4: LANZAMIENTO (1-2 semanas)</t>
  </si>
  <si>
    <t xml:space="preserve">Backups DB</t>
  </si>
  <si>
    <t xml:space="preserve">Script automático de backup diario</t>
  </si>
  <si>
    <t xml:space="preserve">Bcrypt passwords</t>
  </si>
  <si>
    <t xml:space="preserve">Migrar hashing de SHA256 a bcrypt</t>
  </si>
  <si>
    <t xml:space="preserve">Monitoring</t>
  </si>
  <si>
    <t xml:space="preserve">UptimeRobot o similar para alertas de caída</t>
  </si>
  <si>
    <t xml:space="preserve">1 hora</t>
  </si>
  <si>
    <t xml:space="preserve">Landing optimizada</t>
  </si>
  <si>
    <t xml:space="preserve">Testimonios de beta, demos, FAQ, social proof</t>
  </si>
  <si>
    <t xml:space="preserve">Redes de Esteticai</t>
  </si>
  <si>
    <t xml:space="preserve">Perfil de Instagram con contenido de muestra</t>
  </si>
  <si>
    <t xml:space="preserve">Lanzamiento</t>
  </si>
  <si>
    <t xml:space="preserve">Abrir registro público, activar cobros, anunciar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</si>
</sst>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77987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4"/>
      <color rgb="FFC77987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1"/>
      <color rgb="FFC7798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7798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DF0F4"/>
        <bgColor rgb="FFFDEAEA"/>
      </patternFill>
    </fill>
    <fill>
      <patternFill patternType="solid">
        <fgColor rgb="FFC77987"/>
        <bgColor rgb="FF969696"/>
      </patternFill>
    </fill>
    <fill>
      <patternFill patternType="solid">
        <fgColor rgb="FF4A4A4A"/>
        <bgColor rgb="FF2D2D2D"/>
      </patternFill>
    </fill>
    <fill>
      <patternFill patternType="solid">
        <fgColor rgb="FFE8F8F0"/>
        <bgColor rgb="FFEBF5FB"/>
      </patternFill>
    </fill>
    <fill>
      <patternFill patternType="solid">
        <fgColor rgb="FFEBF5FB"/>
        <bgColor rgb="FFE8F8F0"/>
      </patternFill>
    </fill>
    <fill>
      <patternFill patternType="solid">
        <fgColor rgb="FFFDEAEA"/>
        <bgColor rgb="FFFDF0F4"/>
      </patternFill>
    </fill>
    <fill>
      <patternFill patternType="solid">
        <fgColor rgb="FFFEF5E7"/>
        <bgColor rgb="FFFFFBE6"/>
      </patternFill>
    </fill>
    <fill>
      <patternFill patternType="solid">
        <fgColor rgb="FFFFFBE6"/>
        <bgColor rgb="FFFEF5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E74C3C"/>
      <rgbColor rgb="FFFFFBE6"/>
      <rgbColor rgb="FFE8F8F0"/>
      <rgbColor rgb="FF660066"/>
      <rgbColor rgb="FFC77987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DF0F4"/>
      <rgbColor rgb="FFFEF5E7"/>
      <rgbColor rgb="FF99CCFF"/>
      <rgbColor rgb="FFFF99CC"/>
      <rgbColor rgb="FFCC99FF"/>
      <rgbColor rgb="FFFDEAEA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003300"/>
      <rgbColor rgb="FF4A4A4A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987"/>
    <pageSetUpPr fitToPage="false"/>
  </sheetPr>
  <dimension ref="A1:F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</row>
    <row r="4" customFormat="false" ht="17.35" hidden="false" customHeight="false" outlineLevel="0" collapsed="false">
      <c r="A4" s="4" t="s">
        <v>2</v>
      </c>
      <c r="B4" s="4"/>
      <c r="C4" s="5" t="str">
        <f aca="false">CONCATENATE(ROUND(COUNTIF(C8:C200,"Hecho")/COUNTA(C8:C200)*100,0),"%")</f>
        <v>24%</v>
      </c>
      <c r="D4" s="6" t="str">
        <f aca="false">COUNTIF(C8:C200,"Hecho")&amp;"/"&amp;COUNTA(C8:C200)</f>
        <v>16/68</v>
      </c>
    </row>
    <row r="5" customFormat="false" ht="6" hidden="false" customHeight="true" outlineLevel="0" collapsed="false">
      <c r="A5" s="3"/>
      <c r="B5" s="3"/>
      <c r="C5" s="3"/>
      <c r="D5" s="3"/>
      <c r="E5" s="3"/>
      <c r="F5" s="3"/>
    </row>
    <row r="6" customFormat="false" ht="27.75" hidden="false" customHeight="true" outlineLevel="0" collapsed="false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8" customFormat="false" ht="27.75" hidden="false" customHeight="true" outlineLevel="0" collapsed="false">
      <c r="A8" s="8" t="s">
        <v>9</v>
      </c>
      <c r="B8" s="8"/>
      <c r="C8" s="8"/>
      <c r="D8" s="8"/>
      <c r="E8" s="8"/>
      <c r="F8" s="8"/>
    </row>
    <row r="9" customFormat="false" ht="31.5" hidden="false" customHeight="true" outlineLevel="0" collapsed="false">
      <c r="A9" s="9" t="n">
        <v>1</v>
      </c>
      <c r="B9" s="10" t="s">
        <v>10</v>
      </c>
      <c r="C9" s="11" t="s">
        <v>11</v>
      </c>
      <c r="D9" s="12" t="s">
        <v>12</v>
      </c>
      <c r="E9" s="13" t="s">
        <v>13</v>
      </c>
      <c r="F9" s="14" t="s">
        <v>14</v>
      </c>
    </row>
    <row r="10" customFormat="false" ht="31.5" hidden="false" customHeight="true" outlineLevel="0" collapsed="false">
      <c r="A10" s="9" t="n">
        <v>2</v>
      </c>
      <c r="B10" s="10" t="s">
        <v>15</v>
      </c>
      <c r="C10" s="11" t="s">
        <v>11</v>
      </c>
      <c r="D10" s="12" t="s">
        <v>12</v>
      </c>
      <c r="E10" s="13" t="s">
        <v>16</v>
      </c>
      <c r="F10" s="14" t="s">
        <v>14</v>
      </c>
    </row>
    <row r="11" customFormat="false" ht="31.5" hidden="false" customHeight="true" outlineLevel="0" collapsed="false">
      <c r="A11" s="9" t="n">
        <v>3</v>
      </c>
      <c r="B11" s="10" t="s">
        <v>17</v>
      </c>
      <c r="C11" s="11" t="s">
        <v>11</v>
      </c>
      <c r="D11" s="12" t="s">
        <v>12</v>
      </c>
      <c r="E11" s="13" t="s">
        <v>18</v>
      </c>
      <c r="F11" s="14" t="s">
        <v>14</v>
      </c>
    </row>
    <row r="12" customFormat="false" ht="31.5" hidden="false" customHeight="true" outlineLevel="0" collapsed="false">
      <c r="A12" s="9" t="n">
        <v>4</v>
      </c>
      <c r="B12" s="10" t="s">
        <v>19</v>
      </c>
      <c r="C12" s="11" t="s">
        <v>11</v>
      </c>
      <c r="D12" s="12" t="s">
        <v>12</v>
      </c>
      <c r="E12" s="13" t="s">
        <v>20</v>
      </c>
      <c r="F12" s="14" t="s">
        <v>14</v>
      </c>
    </row>
    <row r="13" customFormat="false" ht="31.5" hidden="false" customHeight="true" outlineLevel="0" collapsed="false">
      <c r="A13" s="9" t="n">
        <v>5</v>
      </c>
      <c r="B13" s="10" t="s">
        <v>21</v>
      </c>
      <c r="C13" s="11" t="s">
        <v>11</v>
      </c>
      <c r="D13" s="12" t="s">
        <v>12</v>
      </c>
      <c r="E13" s="13" t="s">
        <v>22</v>
      </c>
      <c r="F13" s="14" t="s">
        <v>14</v>
      </c>
    </row>
    <row r="14" customFormat="false" ht="31.5" hidden="false" customHeight="true" outlineLevel="0" collapsed="false">
      <c r="A14" s="9" t="n">
        <v>6</v>
      </c>
      <c r="B14" s="10" t="s">
        <v>23</v>
      </c>
      <c r="C14" s="11" t="s">
        <v>11</v>
      </c>
      <c r="D14" s="15" t="s">
        <v>24</v>
      </c>
      <c r="E14" s="13" t="s">
        <v>25</v>
      </c>
      <c r="F14" s="14" t="s">
        <v>14</v>
      </c>
    </row>
    <row r="15" customFormat="false" ht="31.5" hidden="false" customHeight="true" outlineLevel="0" collapsed="false">
      <c r="A15" s="9" t="n">
        <v>7</v>
      </c>
      <c r="B15" s="10" t="s">
        <v>26</v>
      </c>
      <c r="C15" s="11" t="s">
        <v>11</v>
      </c>
      <c r="D15" s="15" t="s">
        <v>24</v>
      </c>
      <c r="E15" s="13" t="s">
        <v>27</v>
      </c>
      <c r="F15" s="14" t="s">
        <v>14</v>
      </c>
    </row>
    <row r="16" customFormat="false" ht="31.5" hidden="false" customHeight="true" outlineLevel="0" collapsed="false">
      <c r="A16" s="9" t="n">
        <v>8</v>
      </c>
      <c r="B16" s="10" t="s">
        <v>28</v>
      </c>
      <c r="C16" s="11" t="s">
        <v>11</v>
      </c>
      <c r="D16" s="12" t="s">
        <v>12</v>
      </c>
      <c r="E16" s="13" t="s">
        <v>29</v>
      </c>
      <c r="F16" s="14" t="s">
        <v>14</v>
      </c>
    </row>
    <row r="17" customFormat="false" ht="31.5" hidden="false" customHeight="true" outlineLevel="0" collapsed="false">
      <c r="A17" s="9" t="n">
        <v>9</v>
      </c>
      <c r="B17" s="10" t="s">
        <v>30</v>
      </c>
      <c r="C17" s="11" t="s">
        <v>11</v>
      </c>
      <c r="D17" s="15" t="s">
        <v>24</v>
      </c>
      <c r="E17" s="13" t="s">
        <v>31</v>
      </c>
      <c r="F17" s="14" t="s">
        <v>14</v>
      </c>
    </row>
    <row r="18" customFormat="false" ht="31.5" hidden="false" customHeight="true" outlineLevel="0" collapsed="false">
      <c r="A18" s="9" t="n">
        <v>10</v>
      </c>
      <c r="B18" s="10" t="s">
        <v>32</v>
      </c>
      <c r="C18" s="11" t="s">
        <v>11</v>
      </c>
      <c r="D18" s="16" t="s">
        <v>33</v>
      </c>
      <c r="E18" s="13" t="s">
        <v>34</v>
      </c>
      <c r="F18" s="14" t="s">
        <v>14</v>
      </c>
    </row>
    <row r="19" customFormat="false" ht="27.75" hidden="false" customHeight="true" outlineLevel="0" collapsed="false">
      <c r="A19" s="8" t="s">
        <v>35</v>
      </c>
      <c r="B19" s="8"/>
      <c r="C19" s="8"/>
      <c r="D19" s="8"/>
      <c r="E19" s="8"/>
      <c r="F19" s="8"/>
    </row>
    <row r="20" customFormat="false" ht="31.5" hidden="false" customHeight="true" outlineLevel="0" collapsed="false">
      <c r="A20" s="9" t="n">
        <v>1</v>
      </c>
      <c r="B20" s="10" t="s">
        <v>36</v>
      </c>
      <c r="C20" s="17" t="s">
        <v>37</v>
      </c>
      <c r="D20" s="15" t="s">
        <v>24</v>
      </c>
      <c r="E20" s="13" t="s">
        <v>38</v>
      </c>
      <c r="F20" s="14" t="s">
        <v>14</v>
      </c>
    </row>
    <row r="21" customFormat="false" ht="31.5" hidden="false" customHeight="true" outlineLevel="0" collapsed="false">
      <c r="A21" s="9" t="n">
        <v>2</v>
      </c>
      <c r="B21" s="10" t="s">
        <v>39</v>
      </c>
      <c r="C21" s="17" t="s">
        <v>37</v>
      </c>
      <c r="D21" s="15" t="s">
        <v>24</v>
      </c>
      <c r="E21" s="13" t="s">
        <v>40</v>
      </c>
      <c r="F21" s="14" t="s">
        <v>14</v>
      </c>
    </row>
    <row r="22" customFormat="false" ht="31.5" hidden="false" customHeight="true" outlineLevel="0" collapsed="false">
      <c r="A22" s="9" t="n">
        <v>3</v>
      </c>
      <c r="B22" s="10" t="s">
        <v>41</v>
      </c>
      <c r="C22" s="17" t="s">
        <v>37</v>
      </c>
      <c r="D22" s="15" t="s">
        <v>24</v>
      </c>
      <c r="E22" s="13" t="s">
        <v>42</v>
      </c>
      <c r="F22" s="14" t="s">
        <v>14</v>
      </c>
    </row>
    <row r="23" customFormat="false" ht="31.5" hidden="false" customHeight="true" outlineLevel="0" collapsed="false">
      <c r="A23" s="9" t="n">
        <v>4</v>
      </c>
      <c r="B23" s="10" t="s">
        <v>43</v>
      </c>
      <c r="C23" s="17" t="s">
        <v>37</v>
      </c>
      <c r="D23" s="16" t="s">
        <v>33</v>
      </c>
      <c r="E23" s="13" t="s">
        <v>44</v>
      </c>
      <c r="F23" s="14" t="s">
        <v>14</v>
      </c>
    </row>
    <row r="24" customFormat="false" ht="31.5" hidden="false" customHeight="true" outlineLevel="0" collapsed="false">
      <c r="A24" s="9" t="n">
        <v>5</v>
      </c>
      <c r="B24" s="10" t="s">
        <v>45</v>
      </c>
      <c r="C24" s="17" t="s">
        <v>37</v>
      </c>
      <c r="D24" s="16" t="s">
        <v>46</v>
      </c>
      <c r="E24" s="13" t="s">
        <v>47</v>
      </c>
      <c r="F24" s="14" t="s">
        <v>14</v>
      </c>
    </row>
    <row r="25" customFormat="false" ht="31.5" hidden="false" customHeight="true" outlineLevel="0" collapsed="false">
      <c r="A25" s="9" t="n">
        <v>6</v>
      </c>
      <c r="B25" s="10" t="s">
        <v>48</v>
      </c>
      <c r="C25" s="17" t="s">
        <v>37</v>
      </c>
      <c r="D25" s="16" t="s">
        <v>33</v>
      </c>
      <c r="E25" s="13" t="s">
        <v>49</v>
      </c>
      <c r="F25" s="14" t="s">
        <v>14</v>
      </c>
    </row>
    <row r="26" customFormat="false" ht="31.5" hidden="false" customHeight="true" outlineLevel="0" collapsed="false">
      <c r="A26" s="9" t="n">
        <v>7</v>
      </c>
      <c r="B26" s="10" t="s">
        <v>50</v>
      </c>
      <c r="C26" s="17" t="s">
        <v>37</v>
      </c>
      <c r="D26" s="16" t="s">
        <v>33</v>
      </c>
      <c r="E26" s="13" t="s">
        <v>51</v>
      </c>
      <c r="F26" s="14" t="s">
        <v>14</v>
      </c>
    </row>
    <row r="27" customFormat="false" ht="31.5" hidden="false" customHeight="true" outlineLevel="0" collapsed="false">
      <c r="A27" s="9" t="n">
        <v>8</v>
      </c>
      <c r="B27" s="10" t="s">
        <v>52</v>
      </c>
      <c r="C27" s="17" t="s">
        <v>37</v>
      </c>
      <c r="D27" s="15" t="s">
        <v>24</v>
      </c>
      <c r="E27" s="13" t="s">
        <v>53</v>
      </c>
      <c r="F27" s="14" t="s">
        <v>14</v>
      </c>
    </row>
    <row r="28" customFormat="false" ht="27.75" hidden="false" customHeight="true" outlineLevel="0" collapsed="false">
      <c r="A28" s="8" t="s">
        <v>54</v>
      </c>
      <c r="B28" s="8"/>
      <c r="C28" s="8"/>
      <c r="D28" s="8"/>
      <c r="E28" s="8"/>
      <c r="F28" s="8"/>
    </row>
    <row r="29" customFormat="false" ht="31.5" hidden="false" customHeight="true" outlineLevel="0" collapsed="false">
      <c r="A29" s="9" t="n">
        <v>1</v>
      </c>
      <c r="B29" s="10" t="s">
        <v>55</v>
      </c>
      <c r="C29" s="11" t="s">
        <v>11</v>
      </c>
      <c r="D29" s="12" t="s">
        <v>12</v>
      </c>
      <c r="E29" s="13" t="s">
        <v>56</v>
      </c>
      <c r="F29" s="14" t="s">
        <v>14</v>
      </c>
    </row>
    <row r="30" customFormat="false" ht="31.5" hidden="false" customHeight="true" outlineLevel="0" collapsed="false">
      <c r="A30" s="9" t="n">
        <v>2</v>
      </c>
      <c r="B30" s="10" t="s">
        <v>57</v>
      </c>
      <c r="C30" s="11" t="s">
        <v>11</v>
      </c>
      <c r="D30" s="12" t="s">
        <v>12</v>
      </c>
      <c r="E30" s="13" t="s">
        <v>58</v>
      </c>
      <c r="F30" s="14" t="s">
        <v>14</v>
      </c>
    </row>
    <row r="31" customFormat="false" ht="31.5" hidden="false" customHeight="true" outlineLevel="0" collapsed="false">
      <c r="A31" s="9" t="n">
        <v>3</v>
      </c>
      <c r="B31" s="10" t="s">
        <v>59</v>
      </c>
      <c r="C31" s="11" t="s">
        <v>11</v>
      </c>
      <c r="D31" s="12" t="s">
        <v>12</v>
      </c>
      <c r="E31" s="13" t="s">
        <v>60</v>
      </c>
      <c r="F31" s="14" t="s">
        <v>14</v>
      </c>
    </row>
    <row r="32" customFormat="false" ht="31.5" hidden="false" customHeight="true" outlineLevel="0" collapsed="false">
      <c r="A32" s="9" t="n">
        <v>4</v>
      </c>
      <c r="B32" s="10" t="s">
        <v>61</v>
      </c>
      <c r="C32" s="11" t="s">
        <v>11</v>
      </c>
      <c r="D32" s="12" t="s">
        <v>12</v>
      </c>
      <c r="E32" s="13" t="s">
        <v>62</v>
      </c>
      <c r="F32" s="14" t="s">
        <v>14</v>
      </c>
    </row>
    <row r="33" customFormat="false" ht="31.5" hidden="false" customHeight="true" outlineLevel="0" collapsed="false">
      <c r="A33" s="9" t="n">
        <v>5</v>
      </c>
      <c r="B33" s="10" t="s">
        <v>63</v>
      </c>
      <c r="C33" s="17" t="s">
        <v>37</v>
      </c>
      <c r="D33" s="15" t="s">
        <v>24</v>
      </c>
      <c r="E33" s="13" t="s">
        <v>64</v>
      </c>
      <c r="F33" s="18" t="s">
        <v>65</v>
      </c>
    </row>
    <row r="34" customFormat="false" ht="31.5" hidden="false" customHeight="true" outlineLevel="0" collapsed="false">
      <c r="A34" s="9" t="n">
        <v>6</v>
      </c>
      <c r="B34" s="10" t="s">
        <v>66</v>
      </c>
      <c r="C34" s="17" t="s">
        <v>37</v>
      </c>
      <c r="D34" s="16" t="s">
        <v>33</v>
      </c>
      <c r="E34" s="13" t="s">
        <v>67</v>
      </c>
      <c r="F34" s="14" t="s">
        <v>14</v>
      </c>
    </row>
    <row r="35" customFormat="false" ht="31.5" hidden="false" customHeight="true" outlineLevel="0" collapsed="false">
      <c r="A35" s="9" t="n">
        <v>7</v>
      </c>
      <c r="B35" s="10" t="s">
        <v>68</v>
      </c>
      <c r="C35" s="17" t="s">
        <v>37</v>
      </c>
      <c r="D35" s="15" t="s">
        <v>24</v>
      </c>
      <c r="E35" s="13" t="s">
        <v>69</v>
      </c>
      <c r="F35" s="14" t="s">
        <v>14</v>
      </c>
    </row>
    <row r="36" customFormat="false" ht="31.5" hidden="false" customHeight="true" outlineLevel="0" collapsed="false">
      <c r="A36" s="9" t="n">
        <v>8</v>
      </c>
      <c r="B36" s="10" t="s">
        <v>70</v>
      </c>
      <c r="C36" s="17" t="s">
        <v>37</v>
      </c>
      <c r="D36" s="16" t="s">
        <v>33</v>
      </c>
      <c r="E36" s="13" t="s">
        <v>71</v>
      </c>
      <c r="F36" s="14" t="s">
        <v>14</v>
      </c>
    </row>
    <row r="37" customFormat="false" ht="31.5" hidden="false" customHeight="true" outlineLevel="0" collapsed="false">
      <c r="A37" s="9" t="n">
        <v>9</v>
      </c>
      <c r="B37" s="10" t="s">
        <v>72</v>
      </c>
      <c r="C37" s="17" t="s">
        <v>37</v>
      </c>
      <c r="D37" s="16" t="s">
        <v>33</v>
      </c>
      <c r="E37" s="13" t="s">
        <v>73</v>
      </c>
      <c r="F37" s="14" t="s">
        <v>14</v>
      </c>
    </row>
    <row r="38" customFormat="false" ht="31.5" hidden="false" customHeight="true" outlineLevel="0" collapsed="false">
      <c r="A38" s="9" t="n">
        <v>10</v>
      </c>
      <c r="B38" s="10" t="s">
        <v>74</v>
      </c>
      <c r="C38" s="17" t="s">
        <v>37</v>
      </c>
      <c r="D38" s="16" t="s">
        <v>46</v>
      </c>
      <c r="E38" s="13" t="s">
        <v>75</v>
      </c>
      <c r="F38" s="14" t="s">
        <v>14</v>
      </c>
    </row>
    <row r="39" customFormat="false" ht="27.75" hidden="false" customHeight="true" outlineLevel="0" collapsed="false">
      <c r="A39" s="8" t="s">
        <v>76</v>
      </c>
      <c r="B39" s="8"/>
      <c r="C39" s="8"/>
      <c r="D39" s="8"/>
      <c r="E39" s="8"/>
      <c r="F39" s="8"/>
    </row>
    <row r="40" customFormat="false" ht="31.5" hidden="false" customHeight="true" outlineLevel="0" collapsed="false">
      <c r="A40" s="9" t="n">
        <v>1</v>
      </c>
      <c r="B40" s="10" t="s">
        <v>77</v>
      </c>
      <c r="C40" s="11" t="s">
        <v>11</v>
      </c>
      <c r="D40" s="12" t="s">
        <v>12</v>
      </c>
      <c r="E40" s="13" t="s">
        <v>78</v>
      </c>
      <c r="F40" s="14" t="s">
        <v>14</v>
      </c>
    </row>
    <row r="41" customFormat="false" ht="31.5" hidden="false" customHeight="true" outlineLevel="0" collapsed="false">
      <c r="A41" s="9" t="n">
        <v>2</v>
      </c>
      <c r="B41" s="10" t="s">
        <v>79</v>
      </c>
      <c r="C41" s="17" t="s">
        <v>37</v>
      </c>
      <c r="D41" s="15" t="s">
        <v>24</v>
      </c>
      <c r="E41" s="13" t="s">
        <v>80</v>
      </c>
      <c r="F41" s="14" t="s">
        <v>14</v>
      </c>
    </row>
    <row r="42" customFormat="false" ht="31.5" hidden="false" customHeight="true" outlineLevel="0" collapsed="false">
      <c r="A42" s="9" t="n">
        <v>3</v>
      </c>
      <c r="B42" s="10" t="s">
        <v>81</v>
      </c>
      <c r="C42" s="17" t="s">
        <v>37</v>
      </c>
      <c r="D42" s="16" t="s">
        <v>33</v>
      </c>
      <c r="E42" s="13" t="s">
        <v>82</v>
      </c>
      <c r="F42" s="14" t="s">
        <v>14</v>
      </c>
    </row>
    <row r="43" customFormat="false" ht="31.5" hidden="false" customHeight="true" outlineLevel="0" collapsed="false">
      <c r="A43" s="9" t="n">
        <v>4</v>
      </c>
      <c r="B43" s="10" t="s">
        <v>83</v>
      </c>
      <c r="C43" s="19" t="s">
        <v>84</v>
      </c>
      <c r="D43" s="15" t="s">
        <v>24</v>
      </c>
      <c r="E43" s="13" t="s">
        <v>85</v>
      </c>
      <c r="F43" s="14" t="s">
        <v>14</v>
      </c>
    </row>
    <row r="44" customFormat="false" ht="31.5" hidden="false" customHeight="true" outlineLevel="0" collapsed="false">
      <c r="A44" s="9" t="n">
        <v>5</v>
      </c>
      <c r="B44" s="10" t="s">
        <v>86</v>
      </c>
      <c r="C44" s="11" t="s">
        <v>11</v>
      </c>
      <c r="D44" s="12" t="s">
        <v>12</v>
      </c>
      <c r="E44" s="13" t="s">
        <v>87</v>
      </c>
      <c r="F44" s="14" t="s">
        <v>14</v>
      </c>
    </row>
    <row r="45" customFormat="false" ht="31.5" hidden="false" customHeight="true" outlineLevel="0" collapsed="false">
      <c r="A45" s="9" t="n">
        <v>6</v>
      </c>
      <c r="B45" s="10" t="s">
        <v>88</v>
      </c>
      <c r="C45" s="17" t="s">
        <v>37</v>
      </c>
      <c r="D45" s="12" t="s">
        <v>12</v>
      </c>
      <c r="E45" s="13" t="s">
        <v>89</v>
      </c>
      <c r="F45" s="18" t="s">
        <v>65</v>
      </c>
    </row>
    <row r="46" customFormat="false" ht="31.5" hidden="false" customHeight="true" outlineLevel="0" collapsed="false">
      <c r="A46" s="9" t="n">
        <v>7</v>
      </c>
      <c r="B46" s="10" t="s">
        <v>90</v>
      </c>
      <c r="C46" s="17" t="s">
        <v>37</v>
      </c>
      <c r="D46" s="12" t="s">
        <v>12</v>
      </c>
      <c r="E46" s="13" t="s">
        <v>91</v>
      </c>
      <c r="F46" s="18" t="s">
        <v>65</v>
      </c>
    </row>
    <row r="47" customFormat="false" ht="31.5" hidden="false" customHeight="true" outlineLevel="0" collapsed="false">
      <c r="A47" s="9" t="n">
        <v>8</v>
      </c>
      <c r="B47" s="10" t="s">
        <v>92</v>
      </c>
      <c r="C47" s="17" t="s">
        <v>37</v>
      </c>
      <c r="D47" s="12" t="s">
        <v>12</v>
      </c>
      <c r="E47" s="13" t="s">
        <v>93</v>
      </c>
      <c r="F47" s="20" t="s">
        <v>94</v>
      </c>
    </row>
    <row r="48" customFormat="false" ht="27.75" hidden="false" customHeight="true" outlineLevel="0" collapsed="false">
      <c r="A48" s="8" t="s">
        <v>95</v>
      </c>
      <c r="B48" s="8"/>
      <c r="C48" s="8"/>
      <c r="D48" s="8"/>
      <c r="E48" s="8"/>
      <c r="F48" s="8"/>
    </row>
    <row r="49" customFormat="false" ht="31.5" hidden="false" customHeight="true" outlineLevel="0" collapsed="false">
      <c r="A49" s="9" t="n">
        <v>1</v>
      </c>
      <c r="B49" s="10" t="s">
        <v>96</v>
      </c>
      <c r="C49" s="19" t="s">
        <v>84</v>
      </c>
      <c r="D49" s="12" t="s">
        <v>12</v>
      </c>
      <c r="E49" s="13" t="s">
        <v>97</v>
      </c>
      <c r="F49" s="18" t="s">
        <v>65</v>
      </c>
    </row>
    <row r="50" customFormat="false" ht="31.5" hidden="false" customHeight="true" outlineLevel="0" collapsed="false">
      <c r="A50" s="9" t="n">
        <v>2</v>
      </c>
      <c r="B50" s="10" t="s">
        <v>98</v>
      </c>
      <c r="C50" s="17" t="s">
        <v>37</v>
      </c>
      <c r="D50" s="12" t="s">
        <v>12</v>
      </c>
      <c r="E50" s="13" t="s">
        <v>99</v>
      </c>
      <c r="F50" s="14" t="s">
        <v>14</v>
      </c>
    </row>
    <row r="51" customFormat="false" ht="31.5" hidden="false" customHeight="true" outlineLevel="0" collapsed="false">
      <c r="A51" s="9" t="n">
        <v>3</v>
      </c>
      <c r="B51" s="10" t="s">
        <v>100</v>
      </c>
      <c r="C51" s="17" t="s">
        <v>37</v>
      </c>
      <c r="D51" s="12" t="s">
        <v>12</v>
      </c>
      <c r="E51" s="13" t="s">
        <v>101</v>
      </c>
      <c r="F51" s="14" t="s">
        <v>14</v>
      </c>
    </row>
    <row r="52" customFormat="false" ht="31.5" hidden="false" customHeight="true" outlineLevel="0" collapsed="false">
      <c r="A52" s="9" t="n">
        <v>4</v>
      </c>
      <c r="B52" s="10" t="s">
        <v>102</v>
      </c>
      <c r="C52" s="17" t="s">
        <v>37</v>
      </c>
      <c r="D52" s="15" t="s">
        <v>24</v>
      </c>
      <c r="E52" s="13" t="s">
        <v>103</v>
      </c>
      <c r="F52" s="14" t="s">
        <v>14</v>
      </c>
    </row>
    <row r="53" customFormat="false" ht="31.5" hidden="false" customHeight="true" outlineLevel="0" collapsed="false">
      <c r="A53" s="9" t="n">
        <v>5</v>
      </c>
      <c r="B53" s="10" t="s">
        <v>104</v>
      </c>
      <c r="C53" s="17" t="s">
        <v>37</v>
      </c>
      <c r="D53" s="12" t="s">
        <v>12</v>
      </c>
      <c r="E53" s="13" t="s">
        <v>105</v>
      </c>
      <c r="F53" s="14" t="s">
        <v>14</v>
      </c>
    </row>
    <row r="54" customFormat="false" ht="31.5" hidden="false" customHeight="true" outlineLevel="0" collapsed="false">
      <c r="A54" s="9" t="n">
        <v>6</v>
      </c>
      <c r="B54" s="10" t="s">
        <v>106</v>
      </c>
      <c r="C54" s="17" t="s">
        <v>37</v>
      </c>
      <c r="D54" s="15" t="s">
        <v>24</v>
      </c>
      <c r="E54" s="13" t="s">
        <v>107</v>
      </c>
      <c r="F54" s="14" t="s">
        <v>14</v>
      </c>
    </row>
    <row r="55" customFormat="false" ht="31.5" hidden="false" customHeight="true" outlineLevel="0" collapsed="false">
      <c r="A55" s="9" t="n">
        <v>7</v>
      </c>
      <c r="B55" s="10" t="s">
        <v>108</v>
      </c>
      <c r="C55" s="17" t="s">
        <v>37</v>
      </c>
      <c r="D55" s="15" t="s">
        <v>24</v>
      </c>
      <c r="E55" s="13" t="s">
        <v>109</v>
      </c>
      <c r="F55" s="18" t="s">
        <v>65</v>
      </c>
    </row>
    <row r="56" customFormat="false" ht="31.5" hidden="false" customHeight="true" outlineLevel="0" collapsed="false">
      <c r="A56" s="9" t="n">
        <v>8</v>
      </c>
      <c r="B56" s="10" t="s">
        <v>110</v>
      </c>
      <c r="C56" s="17" t="s">
        <v>37</v>
      </c>
      <c r="D56" s="16" t="s">
        <v>33</v>
      </c>
      <c r="E56" s="13" t="s">
        <v>111</v>
      </c>
      <c r="F56" s="14" t="s">
        <v>14</v>
      </c>
    </row>
    <row r="57" customFormat="false" ht="31.5" hidden="false" customHeight="true" outlineLevel="0" collapsed="false">
      <c r="A57" s="9" t="n">
        <v>9</v>
      </c>
      <c r="B57" s="10" t="s">
        <v>112</v>
      </c>
      <c r="C57" s="17" t="s">
        <v>37</v>
      </c>
      <c r="D57" s="12" t="s">
        <v>12</v>
      </c>
      <c r="E57" s="13" t="s">
        <v>113</v>
      </c>
      <c r="F57" s="20" t="s">
        <v>114</v>
      </c>
    </row>
    <row r="58" customFormat="false" ht="27.75" hidden="false" customHeight="true" outlineLevel="0" collapsed="false">
      <c r="A58" s="8" t="s">
        <v>115</v>
      </c>
      <c r="B58" s="8"/>
      <c r="C58" s="8"/>
      <c r="D58" s="8"/>
      <c r="E58" s="8"/>
      <c r="F58" s="8"/>
    </row>
    <row r="59" customFormat="false" ht="31.5" hidden="false" customHeight="true" outlineLevel="0" collapsed="false">
      <c r="A59" s="9" t="n">
        <v>1</v>
      </c>
      <c r="B59" s="10" t="s">
        <v>116</v>
      </c>
      <c r="C59" s="17" t="s">
        <v>37</v>
      </c>
      <c r="D59" s="12" t="s">
        <v>12</v>
      </c>
      <c r="E59" s="13" t="s">
        <v>117</v>
      </c>
      <c r="F59" s="18" t="s">
        <v>65</v>
      </c>
    </row>
    <row r="60" customFormat="false" ht="31.5" hidden="false" customHeight="true" outlineLevel="0" collapsed="false">
      <c r="A60" s="9" t="n">
        <v>2</v>
      </c>
      <c r="B60" s="10" t="s">
        <v>118</v>
      </c>
      <c r="C60" s="17" t="s">
        <v>37</v>
      </c>
      <c r="D60" s="12" t="s">
        <v>12</v>
      </c>
      <c r="E60" s="13" t="s">
        <v>119</v>
      </c>
      <c r="F60" s="18" t="s">
        <v>65</v>
      </c>
    </row>
    <row r="61" customFormat="false" ht="31.5" hidden="false" customHeight="true" outlineLevel="0" collapsed="false">
      <c r="A61" s="9" t="n">
        <v>3</v>
      </c>
      <c r="B61" s="10" t="s">
        <v>120</v>
      </c>
      <c r="C61" s="17" t="s">
        <v>37</v>
      </c>
      <c r="D61" s="12" t="s">
        <v>12</v>
      </c>
      <c r="E61" s="13" t="s">
        <v>121</v>
      </c>
      <c r="F61" s="18" t="s">
        <v>65</v>
      </c>
    </row>
    <row r="62" customFormat="false" ht="31.5" hidden="false" customHeight="true" outlineLevel="0" collapsed="false">
      <c r="A62" s="9" t="n">
        <v>4</v>
      </c>
      <c r="B62" s="10" t="s">
        <v>122</v>
      </c>
      <c r="C62" s="17" t="s">
        <v>37</v>
      </c>
      <c r="D62" s="12" t="s">
        <v>12</v>
      </c>
      <c r="E62" s="13" t="s">
        <v>123</v>
      </c>
      <c r="F62" s="18" t="s">
        <v>65</v>
      </c>
    </row>
    <row r="63" customFormat="false" ht="31.5" hidden="false" customHeight="true" outlineLevel="0" collapsed="false">
      <c r="A63" s="9" t="n">
        <v>5</v>
      </c>
      <c r="B63" s="10" t="s">
        <v>124</v>
      </c>
      <c r="C63" s="17" t="s">
        <v>37</v>
      </c>
      <c r="D63" s="15" t="s">
        <v>24</v>
      </c>
      <c r="E63" s="13" t="s">
        <v>125</v>
      </c>
      <c r="F63" s="14" t="s">
        <v>14</v>
      </c>
    </row>
    <row r="64" customFormat="false" ht="31.5" hidden="false" customHeight="true" outlineLevel="0" collapsed="false">
      <c r="A64" s="9" t="n">
        <v>6</v>
      </c>
      <c r="B64" s="10" t="s">
        <v>126</v>
      </c>
      <c r="C64" s="17" t="s">
        <v>37</v>
      </c>
      <c r="D64" s="15" t="s">
        <v>24</v>
      </c>
      <c r="E64" s="13" t="s">
        <v>127</v>
      </c>
      <c r="F64" s="18" t="s">
        <v>65</v>
      </c>
    </row>
    <row r="65" customFormat="false" ht="31.5" hidden="false" customHeight="true" outlineLevel="0" collapsed="false">
      <c r="A65" s="9" t="n">
        <v>7</v>
      </c>
      <c r="B65" s="10" t="s">
        <v>128</v>
      </c>
      <c r="C65" s="17" t="s">
        <v>37</v>
      </c>
      <c r="D65" s="16" t="s">
        <v>46</v>
      </c>
      <c r="E65" s="13" t="s">
        <v>129</v>
      </c>
      <c r="F65" s="18" t="s">
        <v>65</v>
      </c>
    </row>
    <row r="66" customFormat="false" ht="27.75" hidden="false" customHeight="true" outlineLevel="0" collapsed="false">
      <c r="A66" s="8" t="s">
        <v>130</v>
      </c>
      <c r="B66" s="8"/>
      <c r="C66" s="8"/>
      <c r="D66" s="8"/>
      <c r="E66" s="8"/>
      <c r="F66" s="8"/>
    </row>
    <row r="67" customFormat="false" ht="31.5" hidden="false" customHeight="true" outlineLevel="0" collapsed="false">
      <c r="A67" s="9" t="n">
        <v>1</v>
      </c>
      <c r="B67" s="10" t="s">
        <v>131</v>
      </c>
      <c r="C67" s="19" t="s">
        <v>84</v>
      </c>
      <c r="D67" s="12" t="s">
        <v>12</v>
      </c>
      <c r="E67" s="13" t="s">
        <v>132</v>
      </c>
      <c r="F67" s="14" t="s">
        <v>14</v>
      </c>
    </row>
    <row r="68" customFormat="false" ht="31.5" hidden="false" customHeight="true" outlineLevel="0" collapsed="false">
      <c r="A68" s="9" t="n">
        <v>2</v>
      </c>
      <c r="B68" s="10" t="s">
        <v>133</v>
      </c>
      <c r="C68" s="17" t="s">
        <v>37</v>
      </c>
      <c r="D68" s="12" t="s">
        <v>12</v>
      </c>
      <c r="E68" s="13" t="s">
        <v>134</v>
      </c>
      <c r="F68" s="18" t="s">
        <v>65</v>
      </c>
    </row>
    <row r="69" customFormat="false" ht="31.5" hidden="false" customHeight="true" outlineLevel="0" collapsed="false">
      <c r="A69" s="9" t="n">
        <v>3</v>
      </c>
      <c r="B69" s="10" t="s">
        <v>135</v>
      </c>
      <c r="C69" s="17" t="s">
        <v>37</v>
      </c>
      <c r="D69" s="15" t="s">
        <v>24</v>
      </c>
      <c r="E69" s="13" t="s">
        <v>136</v>
      </c>
      <c r="F69" s="14" t="s">
        <v>14</v>
      </c>
    </row>
    <row r="70" customFormat="false" ht="31.5" hidden="false" customHeight="true" outlineLevel="0" collapsed="false">
      <c r="A70" s="9" t="n">
        <v>4</v>
      </c>
      <c r="B70" s="10" t="s">
        <v>137</v>
      </c>
      <c r="C70" s="17" t="s">
        <v>37</v>
      </c>
      <c r="D70" s="15" t="s">
        <v>24</v>
      </c>
      <c r="E70" s="13" t="s">
        <v>138</v>
      </c>
      <c r="F70" s="18" t="s">
        <v>65</v>
      </c>
    </row>
    <row r="71" customFormat="false" ht="31.5" hidden="false" customHeight="true" outlineLevel="0" collapsed="false">
      <c r="A71" s="9" t="n">
        <v>5</v>
      </c>
      <c r="B71" s="10" t="s">
        <v>139</v>
      </c>
      <c r="C71" s="17" t="s">
        <v>37</v>
      </c>
      <c r="D71" s="12" t="s">
        <v>12</v>
      </c>
      <c r="E71" s="13" t="s">
        <v>140</v>
      </c>
      <c r="F71" s="18" t="s">
        <v>65</v>
      </c>
    </row>
    <row r="72" customFormat="false" ht="31.5" hidden="false" customHeight="true" outlineLevel="0" collapsed="false">
      <c r="A72" s="9" t="n">
        <v>6</v>
      </c>
      <c r="B72" s="10" t="s">
        <v>141</v>
      </c>
      <c r="C72" s="17" t="s">
        <v>37</v>
      </c>
      <c r="D72" s="12" t="s">
        <v>12</v>
      </c>
      <c r="E72" s="13" t="s">
        <v>142</v>
      </c>
      <c r="F72" s="18" t="s">
        <v>65</v>
      </c>
    </row>
    <row r="73" customFormat="false" ht="31.5" hidden="false" customHeight="true" outlineLevel="0" collapsed="false">
      <c r="A73" s="9" t="n">
        <v>7</v>
      </c>
      <c r="B73" s="10" t="s">
        <v>143</v>
      </c>
      <c r="C73" s="17" t="s">
        <v>37</v>
      </c>
      <c r="D73" s="15" t="s">
        <v>24</v>
      </c>
      <c r="E73" s="13" t="s">
        <v>144</v>
      </c>
      <c r="F73" s="18" t="s">
        <v>65</v>
      </c>
    </row>
    <row r="74" customFormat="false" ht="31.5" hidden="false" customHeight="true" outlineLevel="0" collapsed="false">
      <c r="A74" s="9" t="n">
        <v>8</v>
      </c>
      <c r="B74" s="10" t="s">
        <v>145</v>
      </c>
      <c r="C74" s="17" t="s">
        <v>37</v>
      </c>
      <c r="D74" s="12" t="s">
        <v>12</v>
      </c>
      <c r="E74" s="13" t="s">
        <v>146</v>
      </c>
      <c r="F74" s="18" t="s">
        <v>65</v>
      </c>
    </row>
    <row r="75" customFormat="false" ht="31.5" hidden="false" customHeight="true" outlineLevel="0" collapsed="false">
      <c r="A75" s="9" t="n">
        <v>9</v>
      </c>
      <c r="B75" s="10" t="s">
        <v>147</v>
      </c>
      <c r="C75" s="17" t="s">
        <v>37</v>
      </c>
      <c r="D75" s="16" t="s">
        <v>33</v>
      </c>
      <c r="E75" s="13" t="s">
        <v>148</v>
      </c>
      <c r="F75" s="14" t="s">
        <v>14</v>
      </c>
    </row>
    <row r="76" customFormat="false" ht="31.5" hidden="false" customHeight="true" outlineLevel="0" collapsed="false">
      <c r="A76" s="9" t="n">
        <v>10</v>
      </c>
      <c r="B76" s="10" t="s">
        <v>149</v>
      </c>
      <c r="C76" s="17" t="s">
        <v>37</v>
      </c>
      <c r="D76" s="15" t="s">
        <v>24</v>
      </c>
      <c r="E76" s="13" t="s">
        <v>150</v>
      </c>
      <c r="F76" s="18" t="s">
        <v>65</v>
      </c>
    </row>
    <row r="77" customFormat="false" ht="27.75" hidden="false" customHeight="true" outlineLevel="0" collapsed="false">
      <c r="A77" s="8" t="s">
        <v>151</v>
      </c>
      <c r="B77" s="8"/>
      <c r="C77" s="8"/>
      <c r="D77" s="8"/>
      <c r="E77" s="8"/>
      <c r="F77" s="8"/>
    </row>
    <row r="78" customFormat="false" ht="31.5" hidden="false" customHeight="true" outlineLevel="0" collapsed="false">
      <c r="A78" s="9" t="n">
        <v>1</v>
      </c>
      <c r="B78" s="10" t="s">
        <v>152</v>
      </c>
      <c r="C78" s="17" t="s">
        <v>37</v>
      </c>
      <c r="D78" s="15" t="s">
        <v>24</v>
      </c>
      <c r="E78" s="13" t="s">
        <v>153</v>
      </c>
      <c r="F78" s="18" t="s">
        <v>65</v>
      </c>
    </row>
    <row r="79" customFormat="false" ht="31.5" hidden="false" customHeight="true" outlineLevel="0" collapsed="false">
      <c r="A79" s="9" t="n">
        <v>2</v>
      </c>
      <c r="B79" s="10" t="s">
        <v>154</v>
      </c>
      <c r="C79" s="17" t="s">
        <v>37</v>
      </c>
      <c r="D79" s="16" t="s">
        <v>33</v>
      </c>
      <c r="E79" s="13" t="s">
        <v>155</v>
      </c>
      <c r="F79" s="20" t="s">
        <v>114</v>
      </c>
    </row>
    <row r="80" customFormat="false" ht="31.5" hidden="false" customHeight="true" outlineLevel="0" collapsed="false">
      <c r="A80" s="9" t="n">
        <v>3</v>
      </c>
      <c r="B80" s="10" t="s">
        <v>156</v>
      </c>
      <c r="C80" s="17" t="s">
        <v>37</v>
      </c>
      <c r="D80" s="16" t="s">
        <v>46</v>
      </c>
      <c r="E80" s="13" t="s">
        <v>157</v>
      </c>
      <c r="F80" s="14" t="s">
        <v>14</v>
      </c>
    </row>
    <row r="81" customFormat="false" ht="31.5" hidden="false" customHeight="true" outlineLevel="0" collapsed="false">
      <c r="A81" s="9" t="n">
        <v>4</v>
      </c>
      <c r="B81" s="10" t="s">
        <v>158</v>
      </c>
      <c r="C81" s="17" t="s">
        <v>37</v>
      </c>
      <c r="D81" s="15" t="s">
        <v>24</v>
      </c>
      <c r="E81" s="13" t="s">
        <v>159</v>
      </c>
      <c r="F81" s="18" t="s">
        <v>65</v>
      </c>
    </row>
    <row r="82" customFormat="false" ht="31.5" hidden="false" customHeight="true" outlineLevel="0" collapsed="false">
      <c r="A82" s="9" t="n">
        <v>5</v>
      </c>
      <c r="B82" s="10" t="s">
        <v>160</v>
      </c>
      <c r="C82" s="17" t="s">
        <v>37</v>
      </c>
      <c r="D82" s="16" t="s">
        <v>33</v>
      </c>
      <c r="E82" s="13" t="s">
        <v>161</v>
      </c>
      <c r="F82" s="18" t="s">
        <v>65</v>
      </c>
    </row>
    <row r="83" customFormat="false" ht="31.5" hidden="false" customHeight="true" outlineLevel="0" collapsed="false">
      <c r="A83" s="9" t="n">
        <v>6</v>
      </c>
      <c r="B83" s="10" t="s">
        <v>162</v>
      </c>
      <c r="C83" s="17" t="s">
        <v>37</v>
      </c>
      <c r="D83" s="16" t="s">
        <v>46</v>
      </c>
      <c r="E83" s="13" t="s">
        <v>163</v>
      </c>
      <c r="F83" s="14" t="s">
        <v>14</v>
      </c>
    </row>
  </sheetData>
  <mergeCells count="13">
    <mergeCell ref="A1:F1"/>
    <mergeCell ref="A2:F2"/>
    <mergeCell ref="A3:F3"/>
    <mergeCell ref="A4:B4"/>
    <mergeCell ref="A5:F5"/>
    <mergeCell ref="A8:F8"/>
    <mergeCell ref="A19:F19"/>
    <mergeCell ref="A28:F28"/>
    <mergeCell ref="A39:F39"/>
    <mergeCell ref="A48:F48"/>
    <mergeCell ref="A58:F58"/>
    <mergeCell ref="A66:F66"/>
    <mergeCell ref="A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  <col collapsed="false" customWidth="true" hidden="false" outlineLevel="0" max="5" min="5" style="0" width="14"/>
  </cols>
  <sheetData>
    <row r="1" customFormat="false" ht="36" hidden="false" customHeight="true" outlineLevel="0" collapsed="false">
      <c r="A1" s="21" t="s">
        <v>164</v>
      </c>
      <c r="B1" s="21"/>
      <c r="C1" s="21"/>
      <c r="D1" s="21"/>
      <c r="E1" s="21"/>
    </row>
    <row r="3" customFormat="false" ht="15" hidden="false" customHeight="false" outlineLevel="0" collapsed="false">
      <c r="A3" s="7" t="s">
        <v>165</v>
      </c>
      <c r="B3" s="7" t="s">
        <v>166</v>
      </c>
      <c r="C3" s="7" t="s">
        <v>167</v>
      </c>
      <c r="D3" s="7" t="s">
        <v>168</v>
      </c>
      <c r="E3" s="7" t="s">
        <v>169</v>
      </c>
    </row>
    <row r="4" customFormat="false" ht="15" hidden="false" customHeight="false" outlineLevel="0" collapsed="false">
      <c r="A4" s="10" t="s">
        <v>170</v>
      </c>
      <c r="B4" s="22" t="n">
        <f aca="false">COUNTIF('Checklist Lanzamiento'!C8:C18,"Hecho")</f>
        <v>10</v>
      </c>
      <c r="C4" s="12" t="n">
        <f aca="false">COUNTIF('Checklist Lanzamiento'!C8:C18,"Pendiente")</f>
        <v>0</v>
      </c>
      <c r="D4" s="15" t="n">
        <f aca="false">COUNTIF('Checklist Lanzamiento'!C8:C18,"Parcial")</f>
        <v>0</v>
      </c>
      <c r="E4" s="23" t="str">
        <f aca="false">IF(COUNTA('Checklist Lanzamiento'!C8:C18)&gt;0,ROUND(COUNTIF('Checklist Lanzamiento'!C8:C18,"Hecho")/COUNTA('Checklist Lanzamiento'!C8:C18)*100,0)&amp;"%","—")</f>
        <v>100%</v>
      </c>
    </row>
    <row r="5" customFormat="false" ht="15" hidden="false" customHeight="false" outlineLevel="0" collapsed="false">
      <c r="A5" s="10" t="s">
        <v>171</v>
      </c>
      <c r="B5" s="22" t="n">
        <f aca="false">COUNTIF('Checklist Lanzamiento'!C19:C27,"Hecho")</f>
        <v>0</v>
      </c>
      <c r="C5" s="12" t="n">
        <f aca="false">COUNTIF('Checklist Lanzamiento'!C19:C27,"Pendiente")</f>
        <v>8</v>
      </c>
      <c r="D5" s="15" t="n">
        <f aca="false">COUNTIF('Checklist Lanzamiento'!C19:C27,"Parcial")</f>
        <v>0</v>
      </c>
      <c r="E5" s="23" t="str">
        <f aca="false">IF(COUNTA('Checklist Lanzamiento'!C19:C27)&gt;0,ROUND(COUNTIF('Checklist Lanzamiento'!C19:C27,"Hecho")/COUNTA('Checklist Lanzamiento'!C19:C27)*100,0)&amp;"%","—")</f>
        <v>0%</v>
      </c>
    </row>
    <row r="6" customFormat="false" ht="15" hidden="false" customHeight="false" outlineLevel="0" collapsed="false">
      <c r="A6" s="10" t="s">
        <v>172</v>
      </c>
      <c r="B6" s="22" t="n">
        <f aca="false">COUNTIF('Checklist Lanzamiento'!C29:C38,"Hecho")</f>
        <v>4</v>
      </c>
      <c r="C6" s="12" t="n">
        <f aca="false">COUNTIF('Checklist Lanzamiento'!C29:C38,"Pendiente")</f>
        <v>6</v>
      </c>
      <c r="D6" s="15" t="n">
        <f aca="false">COUNTIF('Checklist Lanzamiento'!C29:C38,"Parcial")</f>
        <v>0</v>
      </c>
      <c r="E6" s="23" t="str">
        <f aca="false">IF(COUNTA('Checklist Lanzamiento'!C29:C38)&gt;0,ROUND(COUNTIF('Checklist Lanzamiento'!C29:C38,"Hecho")/COUNTA('Checklist Lanzamiento'!C29:C38)*100,0)&amp;"%","—")</f>
        <v>40%</v>
      </c>
    </row>
    <row r="7" customFormat="false" ht="15" hidden="false" customHeight="false" outlineLevel="0" collapsed="false">
      <c r="A7" s="10" t="s">
        <v>173</v>
      </c>
      <c r="B7" s="22" t="n">
        <f aca="false">COUNTIF('Checklist Lanzamiento'!C40:C48,"Hecho")</f>
        <v>2</v>
      </c>
      <c r="C7" s="12" t="n">
        <f aca="false">COUNTIF('Checklist Lanzamiento'!C40:C48,"Pendiente")</f>
        <v>5</v>
      </c>
      <c r="D7" s="15" t="n">
        <f aca="false">COUNTIF('Checklist Lanzamiento'!C40:C48,"Parcial")</f>
        <v>1</v>
      </c>
      <c r="E7" s="23" t="str">
        <f aca="false">IF(COUNTA('Checklist Lanzamiento'!C40:C48)&gt;0,ROUND(COUNTIF('Checklist Lanzamiento'!C40:C48,"Hecho")/COUNTA('Checklist Lanzamiento'!C40:C48)*100,0)&amp;"%","—")</f>
        <v>25%</v>
      </c>
    </row>
    <row r="8" customFormat="false" ht="15" hidden="false" customHeight="false" outlineLevel="0" collapsed="false">
      <c r="A8" s="10" t="s">
        <v>174</v>
      </c>
      <c r="B8" s="22" t="n">
        <f aca="false">COUNTIF('Checklist Lanzamiento'!C50:C58,"Hecho")</f>
        <v>0</v>
      </c>
      <c r="C8" s="12" t="n">
        <f aca="false">COUNTIF('Checklist Lanzamiento'!C50:C58,"Pendiente")</f>
        <v>8</v>
      </c>
      <c r="D8" s="15" t="n">
        <f aca="false">COUNTIF('Checklist Lanzamiento'!C50:C58,"Parcial")</f>
        <v>0</v>
      </c>
      <c r="E8" s="23" t="str">
        <f aca="false">IF(COUNTA('Checklist Lanzamiento'!C50:C58)&gt;0,ROUND(COUNTIF('Checklist Lanzamiento'!C50:C58,"Hecho")/COUNTA('Checklist Lanzamiento'!C50:C58)*100,0)&amp;"%","—")</f>
        <v>0%</v>
      </c>
    </row>
    <row r="9" customFormat="false" ht="15" hidden="false" customHeight="false" outlineLevel="0" collapsed="false">
      <c r="A9" s="10" t="s">
        <v>175</v>
      </c>
      <c r="B9" s="22" t="n">
        <f aca="false">COUNTIF('Checklist Lanzamiento'!C60:C66,"Hecho")</f>
        <v>0</v>
      </c>
      <c r="C9" s="12" t="n">
        <f aca="false">COUNTIF('Checklist Lanzamiento'!C60:C66,"Pendiente")</f>
        <v>6</v>
      </c>
      <c r="D9" s="15" t="n">
        <f aca="false">COUNTIF('Checklist Lanzamiento'!C60:C66,"Parcial")</f>
        <v>0</v>
      </c>
      <c r="E9" s="23" t="str">
        <f aca="false">IF(COUNTA('Checklist Lanzamiento'!C60:C66)&gt;0,ROUND(COUNTIF('Checklist Lanzamiento'!C60:C66,"Hecho")/COUNTA('Checklist Lanzamiento'!C60:C66)*100,0)&amp;"%","—")</f>
        <v>0%</v>
      </c>
    </row>
    <row r="10" customFormat="false" ht="15" hidden="false" customHeight="false" outlineLevel="0" collapsed="false">
      <c r="A10" s="10" t="s">
        <v>176</v>
      </c>
      <c r="B10" s="22" t="n">
        <f aca="false">COUNTIF('Checklist Lanzamiento'!C68:C77,"Hecho")</f>
        <v>0</v>
      </c>
      <c r="C10" s="12" t="n">
        <f aca="false">COUNTIF('Checklist Lanzamiento'!C68:C77,"Pendiente")</f>
        <v>9</v>
      </c>
      <c r="D10" s="15" t="n">
        <f aca="false">COUNTIF('Checklist Lanzamiento'!C68:C77,"Parcial")</f>
        <v>0</v>
      </c>
      <c r="E10" s="23" t="str">
        <f aca="false">IF(COUNTA('Checklist Lanzamiento'!C68:C77)&gt;0,ROUND(COUNTIF('Checklist Lanzamiento'!C68:C77,"Hecho")/COUNTA('Checklist Lanzamiento'!C68:C77)*100,0)&amp;"%","—")</f>
        <v>0%</v>
      </c>
    </row>
    <row r="11" customFormat="false" ht="15" hidden="false" customHeight="false" outlineLevel="0" collapsed="false">
      <c r="A11" s="10" t="s">
        <v>177</v>
      </c>
      <c r="B11" s="22" t="n">
        <f aca="false">COUNTIF('Checklist Lanzamiento'!C79:C84,"Hecho")</f>
        <v>0</v>
      </c>
      <c r="C11" s="12" t="n">
        <f aca="false">COUNTIF('Checklist Lanzamiento'!C79:C84,"Pendiente")</f>
        <v>5</v>
      </c>
      <c r="D11" s="15" t="n">
        <f aca="false">COUNTIF('Checklist Lanzamiento'!C79:C84,"Parcial")</f>
        <v>0</v>
      </c>
      <c r="E11" s="23" t="str">
        <f aca="false">IF(COUNTA('Checklist Lanzamiento'!C79:C84)&gt;0,ROUND(COUNTIF('Checklist Lanzamiento'!C79:C84,"Hecho")/COUNTA('Checklist Lanzamiento'!C79:C84)*100,0)&amp;"%","—")</f>
        <v>0%</v>
      </c>
    </row>
    <row r="12" customFormat="false" ht="15" hidden="false" customHeight="false" outlineLevel="0" collapsed="false">
      <c r="A12" s="24" t="s">
        <v>178</v>
      </c>
      <c r="B12" s="25" t="n">
        <f aca="false">SUM(B4:B11)</f>
        <v>16</v>
      </c>
      <c r="C12" s="25" t="n">
        <f aca="false">SUM(C4:C11)</f>
        <v>47</v>
      </c>
      <c r="D12" s="25" t="n">
        <f aca="false">SUM(D4:D11)</f>
        <v>1</v>
      </c>
      <c r="E12" s="26" t="str">
        <f aca="false">IF((B12+C12+D12)&gt;0,ROUND(B12/(B12+C12+D12)*100,0)&amp;"%","—")</f>
        <v>25%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4" min="3" style="0" width="16"/>
  </cols>
  <sheetData>
    <row r="1" customFormat="false" ht="36" hidden="false" customHeight="true" outlineLevel="0" collapsed="false">
      <c r="A1" s="21" t="s">
        <v>179</v>
      </c>
      <c r="B1" s="21"/>
      <c r="C1" s="21"/>
      <c r="D1" s="21"/>
    </row>
    <row r="3" customFormat="false" ht="15" hidden="false" customHeight="false" outlineLevel="0" collapsed="false">
      <c r="A3" s="7" t="s">
        <v>4</v>
      </c>
      <c r="B3" s="7" t="s">
        <v>180</v>
      </c>
      <c r="C3" s="7" t="s">
        <v>8</v>
      </c>
      <c r="D3" s="7" t="s">
        <v>181</v>
      </c>
    </row>
    <row r="4" customFormat="false" ht="27.75" hidden="false" customHeight="true" outlineLevel="0" collapsed="false">
      <c r="A4" s="8" t="s">
        <v>182</v>
      </c>
      <c r="B4" s="8"/>
      <c r="C4" s="8"/>
      <c r="D4" s="8"/>
    </row>
    <row r="5" customFormat="false" ht="27.75" hidden="false" customHeight="true" outlineLevel="0" collapsed="false">
      <c r="A5" s="10" t="s">
        <v>183</v>
      </c>
      <c r="B5" s="10" t="s">
        <v>184</v>
      </c>
      <c r="C5" s="27" t="s">
        <v>14</v>
      </c>
      <c r="D5" s="11" t="s">
        <v>11</v>
      </c>
    </row>
    <row r="6" customFormat="false" ht="27.75" hidden="false" customHeight="true" outlineLevel="0" collapsed="false">
      <c r="A6" s="10" t="s">
        <v>183</v>
      </c>
      <c r="B6" s="10" t="s">
        <v>185</v>
      </c>
      <c r="C6" s="27" t="s">
        <v>14</v>
      </c>
      <c r="D6" s="11" t="s">
        <v>11</v>
      </c>
    </row>
    <row r="7" customFormat="false" ht="27.75" hidden="false" customHeight="true" outlineLevel="0" collapsed="false">
      <c r="A7" s="10" t="s">
        <v>186</v>
      </c>
      <c r="B7" s="10" t="s">
        <v>187</v>
      </c>
      <c r="C7" s="27" t="s">
        <v>65</v>
      </c>
      <c r="D7" s="27" t="s">
        <v>188</v>
      </c>
    </row>
    <row r="8" customFormat="false" ht="27.75" hidden="false" customHeight="true" outlineLevel="0" collapsed="false">
      <c r="A8" s="10" t="s">
        <v>189</v>
      </c>
      <c r="B8" s="10" t="s">
        <v>190</v>
      </c>
      <c r="C8" s="27" t="s">
        <v>65</v>
      </c>
      <c r="D8" s="27" t="s">
        <v>191</v>
      </c>
    </row>
    <row r="9" customFormat="false" ht="27.75" hidden="false" customHeight="true" outlineLevel="0" collapsed="false">
      <c r="A9" s="10" t="s">
        <v>192</v>
      </c>
      <c r="B9" s="10" t="s">
        <v>193</v>
      </c>
      <c r="C9" s="27" t="s">
        <v>65</v>
      </c>
      <c r="D9" s="27" t="s">
        <v>188</v>
      </c>
    </row>
    <row r="10" customFormat="false" ht="27.75" hidden="false" customHeight="true" outlineLevel="0" collapsed="false">
      <c r="A10" s="8" t="s">
        <v>194</v>
      </c>
      <c r="B10" s="8"/>
      <c r="C10" s="8"/>
      <c r="D10" s="8"/>
    </row>
    <row r="11" customFormat="false" ht="27.75" hidden="false" customHeight="true" outlineLevel="0" collapsed="false">
      <c r="A11" s="10" t="s">
        <v>195</v>
      </c>
      <c r="B11" s="10" t="s">
        <v>196</v>
      </c>
      <c r="C11" s="27" t="s">
        <v>65</v>
      </c>
      <c r="D11" s="27" t="s">
        <v>197</v>
      </c>
    </row>
    <row r="12" customFormat="false" ht="27.75" hidden="false" customHeight="true" outlineLevel="0" collapsed="false">
      <c r="A12" s="10" t="s">
        <v>198</v>
      </c>
      <c r="B12" s="10" t="s">
        <v>199</v>
      </c>
      <c r="C12" s="27" t="s">
        <v>14</v>
      </c>
      <c r="D12" s="27" t="s">
        <v>200</v>
      </c>
    </row>
    <row r="13" customFormat="false" ht="27.75" hidden="false" customHeight="true" outlineLevel="0" collapsed="false">
      <c r="A13" s="10" t="s">
        <v>201</v>
      </c>
      <c r="B13" s="10" t="s">
        <v>202</v>
      </c>
      <c r="C13" s="27" t="s">
        <v>14</v>
      </c>
      <c r="D13" s="27" t="s">
        <v>191</v>
      </c>
    </row>
    <row r="14" customFormat="false" ht="27.75" hidden="false" customHeight="true" outlineLevel="0" collapsed="false">
      <c r="A14" s="10" t="s">
        <v>203</v>
      </c>
      <c r="B14" s="10" t="s">
        <v>204</v>
      </c>
      <c r="C14" s="27" t="s">
        <v>14</v>
      </c>
      <c r="D14" s="27" t="s">
        <v>205</v>
      </c>
    </row>
    <row r="15" customFormat="false" ht="27.75" hidden="false" customHeight="true" outlineLevel="0" collapsed="false">
      <c r="A15" s="10" t="s">
        <v>206</v>
      </c>
      <c r="B15" s="10" t="s">
        <v>207</v>
      </c>
      <c r="C15" s="27" t="s">
        <v>14</v>
      </c>
      <c r="D15" s="27" t="s">
        <v>188</v>
      </c>
    </row>
    <row r="16" customFormat="false" ht="27.75" hidden="false" customHeight="true" outlineLevel="0" collapsed="false">
      <c r="A16" s="10" t="s">
        <v>208</v>
      </c>
      <c r="B16" s="10" t="s">
        <v>209</v>
      </c>
      <c r="C16" s="27" t="s">
        <v>65</v>
      </c>
      <c r="D16" s="27" t="s">
        <v>210</v>
      </c>
    </row>
    <row r="17" customFormat="false" ht="27.75" hidden="false" customHeight="true" outlineLevel="0" collapsed="false">
      <c r="A17" s="8" t="s">
        <v>211</v>
      </c>
      <c r="B17" s="8"/>
      <c r="C17" s="8"/>
      <c r="D17" s="8"/>
    </row>
    <row r="18" customFormat="false" ht="27.75" hidden="false" customHeight="true" outlineLevel="0" collapsed="false">
      <c r="A18" s="10" t="s">
        <v>212</v>
      </c>
      <c r="B18" s="10" t="s">
        <v>213</v>
      </c>
      <c r="C18" s="27" t="s">
        <v>65</v>
      </c>
      <c r="D18" s="27" t="s">
        <v>197</v>
      </c>
    </row>
    <row r="19" customFormat="false" ht="27.75" hidden="false" customHeight="true" outlineLevel="0" collapsed="false">
      <c r="A19" s="10" t="s">
        <v>214</v>
      </c>
      <c r="B19" s="10" t="s">
        <v>215</v>
      </c>
      <c r="C19" s="27" t="s">
        <v>94</v>
      </c>
      <c r="D19" s="27" t="s">
        <v>191</v>
      </c>
    </row>
    <row r="20" customFormat="false" ht="27.75" hidden="false" customHeight="true" outlineLevel="0" collapsed="false">
      <c r="A20" s="10" t="s">
        <v>216</v>
      </c>
      <c r="B20" s="10" t="s">
        <v>217</v>
      </c>
      <c r="C20" s="27" t="s">
        <v>14</v>
      </c>
      <c r="D20" s="27" t="s">
        <v>218</v>
      </c>
    </row>
    <row r="21" customFormat="false" ht="27.75" hidden="false" customHeight="true" outlineLevel="0" collapsed="false">
      <c r="A21" s="10" t="s">
        <v>219</v>
      </c>
      <c r="B21" s="10" t="s">
        <v>220</v>
      </c>
      <c r="C21" s="27" t="s">
        <v>14</v>
      </c>
      <c r="D21" s="27" t="s">
        <v>221</v>
      </c>
    </row>
    <row r="22" customFormat="false" ht="27.75" hidden="false" customHeight="true" outlineLevel="0" collapsed="false">
      <c r="A22" s="10" t="s">
        <v>222</v>
      </c>
      <c r="B22" s="10" t="s">
        <v>223</v>
      </c>
      <c r="C22" s="27" t="s">
        <v>14</v>
      </c>
      <c r="D22" s="27" t="s">
        <v>205</v>
      </c>
    </row>
    <row r="23" customFormat="false" ht="27.75" hidden="false" customHeight="true" outlineLevel="0" collapsed="false">
      <c r="A23" s="10" t="s">
        <v>224</v>
      </c>
      <c r="B23" s="10" t="s">
        <v>225</v>
      </c>
      <c r="C23" s="27" t="s">
        <v>14</v>
      </c>
      <c r="D23" s="27" t="s">
        <v>200</v>
      </c>
    </row>
    <row r="24" customFormat="false" ht="27.75" hidden="false" customHeight="true" outlineLevel="0" collapsed="false">
      <c r="A24" s="8" t="s">
        <v>226</v>
      </c>
      <c r="B24" s="8"/>
      <c r="C24" s="8"/>
      <c r="D24" s="8"/>
    </row>
    <row r="25" customFormat="false" ht="27.75" hidden="false" customHeight="true" outlineLevel="0" collapsed="false">
      <c r="A25" s="10" t="s">
        <v>227</v>
      </c>
      <c r="B25" s="10" t="s">
        <v>228</v>
      </c>
      <c r="C25" s="27" t="s">
        <v>14</v>
      </c>
      <c r="D25" s="27" t="s">
        <v>200</v>
      </c>
    </row>
    <row r="26" customFormat="false" ht="27.75" hidden="false" customHeight="true" outlineLevel="0" collapsed="false">
      <c r="A26" s="10" t="s">
        <v>229</v>
      </c>
      <c r="B26" s="10" t="s">
        <v>230</v>
      </c>
      <c r="C26" s="27" t="s">
        <v>14</v>
      </c>
      <c r="D26" s="27" t="s">
        <v>188</v>
      </c>
    </row>
    <row r="27" customFormat="false" ht="27.75" hidden="false" customHeight="true" outlineLevel="0" collapsed="false">
      <c r="A27" s="10" t="s">
        <v>231</v>
      </c>
      <c r="B27" s="10" t="s">
        <v>232</v>
      </c>
      <c r="C27" s="27" t="s">
        <v>14</v>
      </c>
      <c r="D27" s="27" t="s">
        <v>233</v>
      </c>
    </row>
    <row r="28" customFormat="false" ht="27.75" hidden="false" customHeight="true" outlineLevel="0" collapsed="false">
      <c r="A28" s="10" t="s">
        <v>234</v>
      </c>
      <c r="B28" s="10" t="s">
        <v>235</v>
      </c>
      <c r="C28" s="27" t="s">
        <v>94</v>
      </c>
      <c r="D28" s="27" t="s">
        <v>221</v>
      </c>
    </row>
    <row r="29" customFormat="false" ht="27.75" hidden="false" customHeight="true" outlineLevel="0" collapsed="false">
      <c r="A29" s="10" t="s">
        <v>236</v>
      </c>
      <c r="B29" s="10" t="s">
        <v>237</v>
      </c>
      <c r="C29" s="27" t="s">
        <v>65</v>
      </c>
      <c r="D29" s="27" t="s">
        <v>197</v>
      </c>
    </row>
    <row r="30" customFormat="false" ht="27.75" hidden="false" customHeight="true" outlineLevel="0" collapsed="false">
      <c r="A30" s="10" t="s">
        <v>238</v>
      </c>
      <c r="B30" s="10" t="s">
        <v>239</v>
      </c>
      <c r="C30" s="27" t="s">
        <v>65</v>
      </c>
      <c r="D30" s="27" t="s">
        <v>191</v>
      </c>
    </row>
  </sheetData>
  <mergeCells count="5">
    <mergeCell ref="A1:D1"/>
    <mergeCell ref="A4:D4"/>
    <mergeCell ref="A10:D10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2026-04-15T10:16:24Z</dcterms:created>
  <dc:creator>openpyxl</dc:creator>
  <dc:description/>
  <dc:language>en-US</dc:language>
  <cp:lastModifiedBy/>
  <dcterms:modified xsi:type="dcterms:W3CDTF">2026-04-15T10:16:24Z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